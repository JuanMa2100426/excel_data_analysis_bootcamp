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manuelarevalomadrid/Data Analyst/Excel /"/>
    </mc:Choice>
  </mc:AlternateContent>
  <xr:revisionPtr revIDLastSave="0" documentId="13_ncr:1_{CDBE97E9-2127-B142-B728-BC08959A6DDF}" xr6:coauthVersionLast="47" xr6:coauthVersionMax="47" xr10:uidLastSave="{00000000-0000-0000-0000-000000000000}"/>
  <bookViews>
    <workbookView xWindow="1460" yWindow="840" windowWidth="23740" windowHeight="12820" activeTab="4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 a="1"/>
  <c r="P2" i="3" s="1"/>
  <c r="O2" i="3" a="1"/>
  <c r="O2" i="3" s="1"/>
  <c r="N2" i="3" a="1"/>
  <c r="N2" i="3" s="1"/>
  <c r="O2" i="4" a="1"/>
  <c r="O2" i="4" s="1"/>
  <c r="N2" i="4" a="1"/>
  <c r="N2" i="4" s="1"/>
  <c r="K2" i="2" a="1"/>
  <c r="K2" i="2" s="1"/>
  <c r="L2" i="9"/>
  <c r="L2" i="8" a="1"/>
  <c r="L2" i="8" s="1"/>
  <c r="J2" i="5"/>
  <c r="L2" i="12"/>
  <c r="L2" i="7" a="1"/>
  <c r="L2" i="7" s="1"/>
  <c r="J3" i="1"/>
  <c r="J4" i="1"/>
  <c r="J5" i="1"/>
  <c r="J6" i="1"/>
  <c r="J7" i="1"/>
  <c r="J8" i="1"/>
  <c r="J9" i="1"/>
  <c r="J10" i="1"/>
  <c r="J2" i="1"/>
  <c r="J2" i="6" a="1"/>
  <c r="J2" i="6" s="1"/>
  <c r="L2" i="4" l="1" a="1"/>
  <c r="L2" i="4" s="1"/>
  <c r="K2" i="4" a="1"/>
  <c r="K2" i="4" s="1"/>
  <c r="J2" i="2" a="1"/>
  <c r="J2" i="2" s="1"/>
  <c r="K2" i="8" a="1"/>
  <c r="K2" i="8" s="1"/>
  <c r="J2" i="8" a="1"/>
  <c r="J2" i="8" s="1"/>
  <c r="J3" i="9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K2" i="12"/>
  <c r="J2" i="12"/>
  <c r="K2" i="7" a="1"/>
  <c r="K2" i="7" s="1"/>
  <c r="J2" i="7" a="1"/>
  <c r="J2" i="7" s="1"/>
  <c r="K3" i="1"/>
  <c r="K4" i="1"/>
  <c r="K5" i="1"/>
  <c r="K6" i="1"/>
  <c r="K7" i="1"/>
  <c r="K8" i="1"/>
  <c r="K9" i="1"/>
  <c r="K10" i="1"/>
  <c r="K2" i="1"/>
  <c r="M2" i="3" a="1"/>
  <c r="M2" i="3" s="1"/>
  <c r="L2" i="3" a="1"/>
  <c r="L2" i="3" s="1"/>
  <c r="J2" i="3" a="1"/>
  <c r="J2" i="3" s="1"/>
  <c r="M2" i="4" a="1"/>
  <c r="M2" i="4" s="1"/>
  <c r="K5" i="9"/>
  <c r="J5" i="9"/>
  <c r="K4" i="9"/>
  <c r="J4" i="9"/>
  <c r="K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<sst xmlns="http://schemas.openxmlformats.org/spreadsheetml/2006/main" count="591" uniqueCount="93">
  <si>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</si>
  <si>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</si>
  <si>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</si>
  <si>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</si>
  <si>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</si>
  <si>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</si>
  <si>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</si>
  <si>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</si>
  <si>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</si>
  <si>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</si>
  <si>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</si>
  <si>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</si>
  <si>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</si>
  <si>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</si>
  <si>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</si>
  <si>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</si>
  <si>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</si>
  <si>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</si>
  <si>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</si>
  <si>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</si>
  <si>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</si>
  <si>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</si>
  <si>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</si>
  <si>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</si>
  <si>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</si>
  <si>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</si>
  <si>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</si>
  <si>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</si>
  <si>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</si>
  <si>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</si>
  <si>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</si>
  <si>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</si>
  <si>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</si>
  <si>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</si>
  <si>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</si>
  <si>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</si>
  <si>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</si>
  <si>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</si>
  <si>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</si>
  <si>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</si>
  <si>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</si>
  <si>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</si>
  <si>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</si>
  <si>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</si>
  <si>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</si>
  <si>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</si>
  <si>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</si>
  <si>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</si>
  <si>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</si>
  <si>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</si>
  <si>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</si>
  <si>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</si>
  <si>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</si>
  <si>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</si>
  <si>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</si>
  <si>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</si>
  <si>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</si>
  <si>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</si>
  <si>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</si>
  <si>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</si>
  <si>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</si>
  <si>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</si>
  <si>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</si>
  <si>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</si>
  <si>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</si>
  <si>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</si>
  <si>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</si>
  <si>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</si>
  <si>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</si>
  <si>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</si>
  <si>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</si>
  <si>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</si>
  <si>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</si>
  <si>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</si>
  <si>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</si>
  <si>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</si>
  <si>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</si>
  <si>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</si>
  <si>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</si>
  <si>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</si>
  <si>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</si>
  <si>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</si>
  <si>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</si>
  <si>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</si>
  <si>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</si>
  <si>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</si>
  <si>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</si>
  <si>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</si>
  <si>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11/2/20</t>
  </si>
  <si>
    <t>text</t>
  </si>
  <si>
    <t>date</t>
  </si>
  <si>
    <t xml:space="preserve">update 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</si>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</sst>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2" borderId="0" xfId="0" applyNumberForma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L10"/>
  <sheetViews>
    <sheetView zoomScale="110" zoomScaleNormal="110"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  <c r="L1" t="s">
        <v>92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 s="5">
        <f>MAX(G2:G10)</f>
        <v>65000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MAX(D2:D10)</f>
        <v>38</v>
      </c>
      <c r="K4">
        <f>MIN(D2:D10)</f>
        <v>29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>MAX(A2:A10)</f>
        <v>1009</v>
      </c>
      <c r="K5">
        <f>MIN(A2:A10)</f>
        <v>1001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0"/>
  <sheetViews>
    <sheetView topLeftCell="B1" zoomScale="120" zoomScaleNormal="120" workbookViewId="0">
      <selection activeCell="K16" sqref="K16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  <c r="L1" t="s">
        <v>91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30,"OLD", "YOUNG")</f>
        <v>YOUNG</v>
      </c>
      <c r="K2" t="str" cm="1">
        <f t="array" ref="K2:K10">_xlfn.IFS(F2:F10 = "Salesman", "sales", F2:F10 = "HR", "fire Inmediatly",F2:F10 = "Regional Manager","Give Bonus")</f>
        <v>sales</v>
      </c>
      <c r="L2" t="str" cm="1">
        <f t="array" ref="L2:L10">_xlfn.IFS(F2:F10="Salesman", "sales", F2:F10 = "Receptionist", "puta", F2:F10 = "Accountant", "zorra", F2:F10 = "HR", "perra")</f>
        <v>sales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  <c r="L3" t="str">
        <v>puta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  <c r="L4" t="str">
        <v>sales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  <c r="L5" t="str">
        <v>zorra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Inmediatly</v>
      </c>
      <c r="L6" t="str">
        <v>perra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Bonus</v>
      </c>
      <c r="L7" t="e">
        <v>#N/A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  <c r="L8" t="e">
        <v>#N/A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  <c r="L9" t="str">
        <v>sales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  <c r="L10" t="str">
        <v>zorra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B1" zoomScale="120" zoomScaleNormal="120" workbookViewId="0">
      <selection activeCell="M14" sqref="M14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K1" t="s">
        <v>92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  <c r="K2" cm="1">
        <f t="array" ref="K2:K10">LEN(F2:F10)</f>
        <v>8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  <c r="K3">
        <v>12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  <c r="K4">
        <v>8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  <c r="K5">
        <v>10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  <c r="K6">
        <v>2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  <c r="K7">
        <v>16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  <c r="K8">
        <v>18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  <c r="K9">
        <v>8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  <c r="K1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O14"/>
  <sheetViews>
    <sheetView zoomScale="120" zoomScaleNormal="120" workbookViewId="0">
      <selection activeCell="H4" sqref="H4"/>
    </sheetView>
  </sheetViews>
  <sheetFormatPr baseColWidth="10" defaultColWidth="14.5" defaultRowHeight="15" x14ac:dyDescent="0.2"/>
  <cols>
    <col min="4" max="4" width="8" customWidth="1"/>
    <col min="10" max="10" width="37.83203125" customWidth="1"/>
  </cols>
  <sheetData>
    <row r="1" spans="1:15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  <c r="N1" t="s">
        <v>92</v>
      </c>
    </row>
    <row r="2" spans="1:15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t="s">
        <v>48</v>
      </c>
      <c r="I2" s="4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RIGHT(I2:I10,4)</f>
        <v>2015</v>
      </c>
      <c r="N2" t="str" cm="1">
        <f t="array" ref="N2:N10">LEFT(F2:F10,5)</f>
        <v>Sales</v>
      </c>
      <c r="O2" t="str" cm="1">
        <f t="array" ref="O2:O10">RIGHT(F2:F10,3)</f>
        <v>man</v>
      </c>
    </row>
    <row r="3" spans="1:15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t="s">
        <v>49</v>
      </c>
      <c r="I3" s="4" t="s">
        <v>57</v>
      </c>
      <c r="J3" s="1" t="s">
        <v>40</v>
      </c>
      <c r="K3" t="str">
        <v>Pam</v>
      </c>
      <c r="L3" t="str">
        <v>2</v>
      </c>
      <c r="M3" t="str">
        <v>2015</v>
      </c>
      <c r="N3" t="str">
        <v>Recep</v>
      </c>
      <c r="O3" t="str">
        <v>ist</v>
      </c>
    </row>
    <row r="4" spans="1:15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t="s">
        <v>50</v>
      </c>
      <c r="I4" s="4" t="s">
        <v>58</v>
      </c>
      <c r="J4" s="1" t="s">
        <v>41</v>
      </c>
      <c r="K4" t="str">
        <v>Dwi</v>
      </c>
      <c r="L4" t="str">
        <v>3</v>
      </c>
      <c r="M4" t="str">
        <v>2017</v>
      </c>
      <c r="N4" t="str">
        <v>Sales</v>
      </c>
      <c r="O4" t="str">
        <v>man</v>
      </c>
    </row>
    <row r="5" spans="1:15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t="s">
        <v>51</v>
      </c>
      <c r="I5" s="4" t="s">
        <v>59</v>
      </c>
      <c r="J5" s="1" t="s">
        <v>42</v>
      </c>
      <c r="K5" t="str">
        <v>Ang</v>
      </c>
      <c r="L5" t="str">
        <v>4</v>
      </c>
      <c r="M5" t="str">
        <v>2015</v>
      </c>
      <c r="N5" t="str">
        <v>Accou</v>
      </c>
      <c r="O5" t="str">
        <v>ant</v>
      </c>
    </row>
    <row r="6" spans="1:15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t="s">
        <v>52</v>
      </c>
      <c r="I6" s="4" t="s">
        <v>60</v>
      </c>
      <c r="J6" s="1" t="s">
        <v>43</v>
      </c>
      <c r="K6" t="str">
        <v>Tob</v>
      </c>
      <c r="L6" t="str">
        <v>5</v>
      </c>
      <c r="M6" t="str">
        <v>2017</v>
      </c>
      <c r="N6" t="str">
        <v>HR</v>
      </c>
      <c r="O6" t="str">
        <v>HR</v>
      </c>
    </row>
    <row r="7" spans="1:15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t="s">
        <v>52</v>
      </c>
      <c r="I7" s="4" t="s">
        <v>61</v>
      </c>
      <c r="J7" s="1" t="s">
        <v>44</v>
      </c>
      <c r="K7" t="str">
        <v>Mic</v>
      </c>
      <c r="L7" t="str">
        <v>6</v>
      </c>
      <c r="M7" t="str">
        <v>2013</v>
      </c>
      <c r="N7" t="str">
        <v>Regio</v>
      </c>
      <c r="O7" t="str">
        <v>ger</v>
      </c>
    </row>
    <row r="8" spans="1:15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t="s">
        <v>53</v>
      </c>
      <c r="I8" s="4" t="s">
        <v>61</v>
      </c>
      <c r="J8" s="1" t="s">
        <v>45</v>
      </c>
      <c r="K8" t="str">
        <v>Mer</v>
      </c>
      <c r="L8" t="str">
        <v>7</v>
      </c>
      <c r="M8" t="str">
        <v>2013</v>
      </c>
      <c r="N8" t="str">
        <v>Suppl</v>
      </c>
      <c r="O8" t="str">
        <v>ons</v>
      </c>
    </row>
    <row r="9" spans="1:15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t="s">
        <v>54</v>
      </c>
      <c r="I9" s="4" t="s">
        <v>62</v>
      </c>
      <c r="J9" s="1" t="s">
        <v>46</v>
      </c>
      <c r="K9" t="str">
        <v>Sta</v>
      </c>
      <c r="L9" t="str">
        <v>8</v>
      </c>
      <c r="M9" t="str">
        <v>2015</v>
      </c>
      <c r="N9" t="str">
        <v>Sales</v>
      </c>
      <c r="O9" t="str">
        <v>man</v>
      </c>
    </row>
    <row r="10" spans="1:15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t="s">
        <v>55</v>
      </c>
      <c r="I10" s="4" t="s">
        <v>62</v>
      </c>
      <c r="J10" s="1" t="s">
        <v>47</v>
      </c>
      <c r="K10" t="str">
        <v>Kev</v>
      </c>
      <c r="L10" t="str">
        <v>9</v>
      </c>
      <c r="M10" t="str">
        <v>2015</v>
      </c>
      <c r="N10" t="str">
        <v>Accou</v>
      </c>
      <c r="O10" t="str">
        <v>ant</v>
      </c>
    </row>
    <row r="13" spans="1:15" x14ac:dyDescent="0.2">
      <c r="K13" s="3"/>
    </row>
    <row r="14" spans="1:15" x14ac:dyDescent="0.2">
      <c r="K14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P14"/>
  <sheetViews>
    <sheetView tabSelected="1" topLeftCell="E1" zoomScale="120" zoomScaleNormal="120" workbookViewId="0">
      <selection activeCell="N14" sqref="N14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0" max="10" width="18.33203125" customWidth="1"/>
  </cols>
  <sheetData>
    <row r="1" spans="1:16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N1" t="s">
        <v>92</v>
      </c>
    </row>
    <row r="2" spans="1:16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tr" cm="1">
        <f t="array" ref="L2:L10">TEXT(J2:J10, "dd/mm/yyyy")</f>
        <v>11/02/2001</v>
      </c>
      <c r="M2" t="str" cm="1">
        <f t="array" ref="M2:M10">RIGHT(_xlfn.ANCHORARRAY(L2),4)</f>
        <v>2001</v>
      </c>
      <c r="N2" t="str" cm="1">
        <f t="array" ref="N2:N10">TEXT(I2:I10,"dd/mm/yyyy")</f>
        <v>06/09/2015</v>
      </c>
      <c r="O2" t="str" cm="1">
        <f t="array" ref="O2:O10">TEXT(J2:J10,"dd/mm/yyyy")</f>
        <v>11/02/2001</v>
      </c>
      <c r="P2" t="str" cm="1">
        <f t="array" ref="P2:P10">RIGHT(_xlfn.ANCHORARRAY(O2),4)</f>
        <v>2001</v>
      </c>
    </row>
    <row r="3" spans="1:16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10/03/1999</v>
      </c>
      <c r="M3" t="str">
        <v>1999</v>
      </c>
      <c r="N3" t="str">
        <v>10/10/2015</v>
      </c>
      <c r="O3" t="str">
        <v>10/03/1999</v>
      </c>
      <c r="P3" t="str">
        <v>1999</v>
      </c>
    </row>
    <row r="4" spans="1:16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  <c r="N4" t="str">
        <v>08/09/2017</v>
      </c>
      <c r="O4" t="str">
        <v>07/04/2000</v>
      </c>
      <c r="P4" t="str">
        <v>2000</v>
      </c>
    </row>
    <row r="5" spans="1:16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  <c r="N5" t="str">
        <v>03/12/2015</v>
      </c>
      <c r="O5" t="str">
        <v>01/05/2000</v>
      </c>
      <c r="P5" t="str">
        <v>2000</v>
      </c>
    </row>
    <row r="6" spans="1:16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  <c r="N6" t="str">
        <v>30/08/2017</v>
      </c>
      <c r="O6" t="str">
        <v>05/06/2001</v>
      </c>
      <c r="P6" t="str">
        <v>2001</v>
      </c>
    </row>
    <row r="7" spans="1:16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  <c r="N7" t="str">
        <v>11/09/2013</v>
      </c>
      <c r="O7" t="str">
        <v>12/07/1995</v>
      </c>
      <c r="P7" t="str">
        <v>1995</v>
      </c>
    </row>
    <row r="8" spans="1:16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  <c r="N8" t="str">
        <v>04/10/2013</v>
      </c>
      <c r="O8" t="str">
        <v>11/08/2003</v>
      </c>
      <c r="P8" t="str">
        <v>2003</v>
      </c>
    </row>
    <row r="9" spans="1:16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  <c r="N9" t="str">
        <v>22/04/2015</v>
      </c>
      <c r="O9" t="str">
        <v>06/09/2002</v>
      </c>
      <c r="P9" t="str">
        <v>2002</v>
      </c>
    </row>
    <row r="10" spans="1:16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  <c r="N10" t="str">
        <v>14/09/2011</v>
      </c>
      <c r="O10" t="str">
        <v>08/10/2003</v>
      </c>
      <c r="P10" t="str">
        <v>2003</v>
      </c>
    </row>
    <row r="12" spans="1:16" x14ac:dyDescent="0.2">
      <c r="H12" s="1"/>
    </row>
    <row r="13" spans="1:16" x14ac:dyDescent="0.2">
      <c r="H13" s="6" t="s">
        <v>88</v>
      </c>
      <c r="I13" s="7" t="s">
        <v>89</v>
      </c>
    </row>
    <row r="14" spans="1:16" x14ac:dyDescent="0.2">
      <c r="H14" s="8">
        <v>43771</v>
      </c>
      <c r="I14" s="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B1" zoomScale="120" zoomScaleNormal="120" workbookViewId="0">
      <selection activeCell="J3" sqref="J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zoomScale="120" zoomScaleNormal="120" workbookViewId="0">
      <selection activeCell="K2" sqref="K2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  <col min="11" max="11" width="23.3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",C2)</f>
        <v>Jim Halpert</v>
      </c>
      <c r="K2" t="str">
        <f>CONCATENATE(B2, ".",C2,"@gmail.com")</f>
        <v>Jim.Halpert@gmail.com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 " ",C3)</f>
        <v>Pam Beasley</v>
      </c>
      <c r="K3" t="str">
        <f t="shared" ref="K3:K10" si="1">CONCATENATE(B3, ".",C3,"@gmail.com")</f>
        <v>Pam.Beasley@gmail.com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">
      <c r="H11" t="str">
        <f t="shared" ref="H11:H12" si="2">CONCATENATE(B11," ",C11)</f>
        <v xml:space="preserve"> </v>
      </c>
    </row>
    <row r="12" spans="1:11" x14ac:dyDescent="0.2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D1" zoomScale="120" zoomScaleNormal="120"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C1" zoomScale="120" zoomScaleNormal="120" workbookViewId="0">
      <selection activeCell="L9" sqref="L9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C1" zoomScale="120" zoomScaleNormal="120" workbookViewId="0">
      <selection activeCell="L2" sqref="L2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zoomScale="120" zoomScaleNormal="120" workbookViewId="0">
      <selection activeCell="H2" sqref="H2"/>
    </sheetView>
  </sheetViews>
  <sheetFormatPr baseColWidth="10" defaultColWidth="8.83203125" defaultRowHeight="15" x14ac:dyDescent="0.2"/>
  <cols>
    <col min="8" max="8" width="14.5" customWidth="1"/>
    <col min="9" max="9" width="13.33203125" customWidth="1"/>
    <col min="11" max="11" width="12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Juan Manuel Arevalo Madrid</cp:lastModifiedBy>
  <dcterms:created xsi:type="dcterms:W3CDTF">2021-12-16T14:18:34Z</dcterms:created>
  <dcterms:modified xsi:type="dcterms:W3CDTF">2026-03-02T13:57:05Z</dcterms:modified>
</cp:coreProperties>
</file>