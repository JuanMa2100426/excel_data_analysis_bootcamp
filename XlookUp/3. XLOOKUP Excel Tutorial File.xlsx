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manuelarevalomadrid/Data Analyst/Excel /"/>
    </mc:Choice>
  </mc:AlternateContent>
  <xr:revisionPtr revIDLastSave="0" documentId="13_ncr:1_{802D3529-1198-E04D-A776-18E4D3E8B1F1}" xr6:coauthVersionLast="47" xr6:coauthVersionMax="47" xr10:uidLastSave="{00000000-0000-0000-0000-000000000000}"/>
  <bookViews>
    <workbookView xWindow="540" yWindow="760" windowWidth="24240" windowHeight="1304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10" i="2"/>
  <c r="B8" i="2"/>
  <c r="D7" i="7"/>
  <c r="D7" i="4"/>
  <c r="D8" i="4"/>
  <c r="D6" i="4"/>
  <c r="D3" i="4"/>
  <c r="D4" i="4"/>
  <c r="D2" i="4"/>
  <c r="B10" i="8"/>
  <c r="B10" i="9"/>
  <c r="B7" i="9"/>
  <c r="B6" i="9"/>
  <c r="B12" i="8"/>
  <c r="B11" i="8"/>
  <c r="B9" i="8"/>
  <c r="B10" i="6" a="1"/>
  <c r="B10" i="6" s="1"/>
  <c r="B11" i="6" a="1"/>
  <c r="B11" i="6" s="1"/>
  <c r="B12" i="6" a="1"/>
  <c r="B12" i="6" s="1"/>
  <c r="B9" i="6" a="1"/>
  <c r="B9" i="6" s="1"/>
  <c r="B9" i="1"/>
  <c r="B10" i="1"/>
  <c r="B11" i="1"/>
  <c r="B8" i="1"/>
  <c r="B3" i="2" l="1"/>
  <c r="B3" i="1"/>
  <c r="B3" i="4"/>
  <c r="B4" i="4"/>
  <c r="B2" i="4"/>
  <c r="B4" i="9"/>
  <c r="B3" i="9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4" i="2"/>
  <c r="B5" i="2"/>
  <c r="B7" i="7"/>
  <c r="B3" i="7"/>
  <c r="B4" i="7"/>
  <c r="B2" i="7"/>
  <c r="B6" i="8"/>
  <c r="B5" i="8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<sst xmlns="http://schemas.openxmlformats.org/spreadsheetml/2006/main" count="493" uniqueCount="93">
  <si>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</si>
  <si>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</si>
  <si>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</si>
  <si>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</si>
  <si>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</si>
  <si>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</si>
  <si>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</si>
  <si>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</si>
  <si>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</si>
  <si>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</si>
  <si>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</si>
  <si>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</si>
  <si>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</si>
  <si>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</si>
  <si>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</si>
  <si>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</si>
  <si>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</si>
  <si>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</si>
  <si>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</si>
  <si>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</si>
  <si>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</si>
  <si>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</si>
  <si>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</si>
  <si>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</si>
  <si>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</si>
  <si>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</si>
  <si>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</si>
  <si>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</si>
  <si>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</si>
  <si>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</si>
  <si>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</si>
  <si>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</si>
  <si>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</si>
  <si>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</si>
  <si>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</si>
  <si>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</si>
  <si>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</si>
  <si>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</si>
  <si>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</si>
  <si>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</si>
  <si>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</si>
  <si>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</si>
  <si>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</si>
  <si>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</si>
  <si>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</si>
  <si>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</si>
  <si>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</si>
  <si>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</si>
  <si>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</si>
  <si>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</si>
  <si>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</si>
  <si>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</si>
  <si>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</si>
  <si>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</si>
  <si>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</si>
  <si>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</si>
  <si>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</si>
  <si>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</si>
  <si>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</si>
  <si>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</si>
  <si>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</si>
  <si>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</si>
  <si>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</si>
  <si>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</si>
  <si>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</si>
  <si>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</si>
  <si>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</si>
  <si>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</si>
  <si>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</si>
  <si>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</si>
  <si>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</si>
  <si>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</si>
  <si>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</si>
  <si>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</si>
  <si>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</si>
  <si>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</si>
  <si>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</si>
  <si>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</si>
  <si>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</si>
  <si>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</si>
  <si>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</si>
  <si>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</si>
  <si>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</si>
  <si>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</si>
  <si>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</si>
  <si>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</si>
  <si>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</si>
  <si>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</si>
  <si>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</si>
  <si>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</si>
  <si>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</si>
  <si>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job</t>
  </si>
  <si>
    <t xml:space="preserve">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</si>
</sst>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O23"/>
  <sheetViews>
    <sheetView zoomScale="120" zoomScaleNormal="120" workbookViewId="0">
      <selection activeCell="B16" sqref="B16"/>
    </sheetView>
  </sheetViews>
  <sheetFormatPr baseColWidth="10" defaultColWidth="8.83203125" defaultRowHeight="15" x14ac:dyDescent="0.2"/>
  <cols>
    <col min="1" max="1" width="15.5" customWidth="1"/>
    <col min="2" max="2" width="38.1640625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65</v>
      </c>
      <c r="B3" t="str">
        <f>_xlfn.XLOOKUP(A3,H2:H10,O2:O10)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62</v>
      </c>
      <c r="B4" t="str">
        <f t="shared" ref="B4:B6" si="0">_xlfn.XLOOKUP(A4,H3:H11,O3:O11)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A8" t="s">
        <v>65</v>
      </c>
      <c r="B8" t="str">
        <f>_xlfn.XLOOKUP(A8,H2:H10,K2:K10)</f>
        <v>HR</v>
      </c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A9" t="s">
        <v>62</v>
      </c>
      <c r="B9" t="str">
        <f t="shared" ref="B9:B11" si="1">_xlfn.XLOOKUP(A9,H3:H11,K3:K11)</f>
        <v>Receptionist</v>
      </c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A10" t="s">
        <v>67</v>
      </c>
      <c r="B10" t="str">
        <f t="shared" si="1"/>
        <v>Supplier Relations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1" spans="1:15" x14ac:dyDescent="0.2">
      <c r="A11" t="s">
        <v>69</v>
      </c>
      <c r="B11" t="str">
        <f t="shared" si="1"/>
        <v>Accountant</v>
      </c>
    </row>
    <row r="22" spans="8:8" x14ac:dyDescent="0.2">
      <c r="H22" t="str">
        <f t="shared" ref="H22:H23" si="2">CONCATENATE(F12," ",G12)</f>
        <v xml:space="preserve"> </v>
      </c>
    </row>
    <row r="23" spans="8:8" x14ac:dyDescent="0.2">
      <c r="H23" t="str">
        <f t="shared" si="2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zoomScale="110" zoomScaleNormal="110" workbookViewId="0">
      <selection activeCell="C13" sqref="C13"/>
    </sheetView>
  </sheetViews>
  <sheetFormatPr baseColWidth="10" defaultColWidth="8.83203125" defaultRowHeight="15" x14ac:dyDescent="0.2"/>
  <cols>
    <col min="1" max="1" width="14.6640625" bestFit="1" customWidth="1"/>
    <col min="2" max="2" width="17.1640625" customWidth="1"/>
    <col min="3" max="3" width="36.1640625" customWidth="1"/>
    <col min="4" max="4" width="5.6640625" customWidth="1"/>
    <col min="5" max="5" width="5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B8" t="s">
        <v>91</v>
      </c>
      <c r="C8" t="s">
        <v>92</v>
      </c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A9" t="s">
        <v>65</v>
      </c>
      <c r="B9" t="str" cm="1">
        <f t="array" ref="B9:C9">_xlfn.XLOOKUP(A9,I2:I10,L2:M10)</f>
        <v>HR</v>
      </c>
      <c r="C9">
        <v>50000</v>
      </c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A10" t="s">
        <v>62</v>
      </c>
      <c r="B10" t="str" cm="1">
        <f t="array" ref="B10:C10">_xlfn.XLOOKUP(A10,I3:I11,L3:M11)</f>
        <v>Receptionist</v>
      </c>
      <c r="C10">
        <v>36000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1" spans="1:16" x14ac:dyDescent="0.2">
      <c r="A11" t="s">
        <v>67</v>
      </c>
      <c r="B11" t="str" cm="1">
        <f t="array" ref="B11:C11">_xlfn.XLOOKUP(A11,I4:I12,L4:M12)</f>
        <v>Supplier Relations</v>
      </c>
      <c r="C11">
        <v>41000</v>
      </c>
    </row>
    <row r="12" spans="1:16" x14ac:dyDescent="0.2">
      <c r="A12" t="s">
        <v>69</v>
      </c>
      <c r="B12" t="str" cm="1">
        <f t="array" ref="B12:C12">_xlfn.XLOOKUP(A12,I5:I13,L5:M13)</f>
        <v>Accountant</v>
      </c>
      <c r="C12">
        <v>42000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zoomScale="120" zoomScaleNormal="120" workbookViewId="0">
      <selection activeCell="B10" sqref="B10"/>
    </sheetView>
  </sheetViews>
  <sheetFormatPr baseColWidth="10" defaultColWidth="8.83203125" defaultRowHeight="15" x14ac:dyDescent="0.2"/>
  <cols>
    <col min="1" max="1" width="14.6640625" bestFit="1" customWidth="1"/>
    <col min="2" max="2" width="27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B9" t="str">
        <f>_xlfn.XLOOKUP(A3,H2:H10,O2:O10,"not found")</f>
        <v>not found</v>
      </c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B10" t="str">
        <f>_xlfn.XLOOKUP("*"&amp;A4,H2:H10,O2:O10,"not found",2)</f>
        <v>Pam.Beasley@DunderMifflin.com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1" spans="1:15" x14ac:dyDescent="0.2">
      <c r="B11" t="str">
        <f>_xlfn.XLOOKUP(A5&amp;"*",H3:H11,O3:O11,"not found",2)</f>
        <v>Meredith.Palmer@Yahoo.com</v>
      </c>
    </row>
    <row r="12" spans="1:15" x14ac:dyDescent="0.2">
      <c r="B12" t="str">
        <f>_xlfn.XLOOKUP(A6&amp;"*",H4:H12,O4:O12,"not found",2)</f>
        <v>Kevin.Malone@DunderMifflin.com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zoomScale="110" zoomScaleNormal="110" workbookViewId="0">
      <selection activeCell="B10" sqref="B10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B6" t="str">
        <f>_xlfn.XLOOKUP(A3,N2:N10,I2:I10,,1)</f>
        <v>Angela Martin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B7" t="str">
        <f>_xlfn.XLOOKUP(A4,N2:N10,I2:I10,,,1)</f>
        <v>Toby Flenderson</v>
      </c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B10" t="str">
        <f>_xlfn.XLOOKUP(A3,N2:N10,I2:I10,,1,2)</f>
        <v>Jim Halpert</v>
      </c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8"/>
  <sheetViews>
    <sheetView zoomScale="110" zoomScaleNormal="110" workbookViewId="0">
      <selection activeCell="D11" sqref="D11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D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D3">
        <f t="shared" ref="D3:D4" si="1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D4">
        <f t="shared" si="1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D6">
        <f>_xlfn.XLOOKUP(I1,H1:S1,H2:S2)</f>
        <v>310</v>
      </c>
    </row>
    <row r="7" spans="1:19" x14ac:dyDescent="0.2">
      <c r="D7">
        <f t="shared" ref="D7:D8" si="2">_xlfn.XLOOKUP(I2,H2:S2,H3:S3)</f>
        <v>40</v>
      </c>
    </row>
    <row r="8" spans="1:19" x14ac:dyDescent="0.2">
      <c r="D8">
        <f t="shared" si="2"/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zoomScale="110" zoomScaleNormal="110" workbookViewId="0">
      <selection activeCell="D8" sqref="D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SUM(_xlfn.XLOOKUP(I1,H1:S1,H2:S2):_xlfn.XLOOKUP(J1,H1:S1,H2:S2))</f>
        <v>460</v>
      </c>
      <c r="D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tabSelected="1" zoomScale="110" zoomScaleNormal="110" workbookViewId="0">
      <selection activeCell="B8" sqref="B8:B10"/>
    </sheetView>
  </sheetViews>
  <sheetFormatPr baseColWidth="10" defaultColWidth="8.83203125" defaultRowHeight="15" x14ac:dyDescent="0.2"/>
  <cols>
    <col min="1" max="1" width="14.5" customWidth="1"/>
    <col min="2" max="2" width="22.1640625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63</v>
      </c>
      <c r="B3" t="str">
        <f>VLOOKUP(A3,H2:O10,8,FALSE)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66</v>
      </c>
      <c r="B4" t="str">
        <f t="shared" ref="B4:B5" si="0">VLOOKUP(A4,H3:O11,8,FALSE)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B8" t="str">
        <f>VLOOKUP(A3,H2:O10,8,FALSE)</f>
        <v>Dwight.Schrute@AOL.com</v>
      </c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B9" t="str">
        <f t="shared" ref="B9:B10" si="1">VLOOKUP(A4,H3:O11,8,FALSE)</f>
        <v>Michael.Scott@DunderMifflin.com</v>
      </c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B10" t="str">
        <f t="shared" si="1"/>
        <v>Stanley.Hudson@gmail.com</v>
      </c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Juan Manuel Arevalo Madrid</cp:lastModifiedBy>
  <dcterms:created xsi:type="dcterms:W3CDTF">2021-12-20T02:45:32Z</dcterms:created>
  <dcterms:modified xsi:type="dcterms:W3CDTF">2026-03-15T15:29:17Z</dcterms:modified>
</cp:coreProperties>
</file>